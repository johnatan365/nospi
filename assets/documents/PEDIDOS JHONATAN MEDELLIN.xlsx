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hnatan\Downloads\"/>
    </mc:Choice>
  </mc:AlternateContent>
  <bookViews>
    <workbookView xWindow="0" yWindow="0" windowWidth="20490" windowHeight="7050"/>
  </bookViews>
  <sheets>
    <sheet name="Hoja 2" sheetId="1" r:id="rId1"/>
  </sheets>
  <definedNames>
    <definedName name="_xlnm._FilterDatabase" localSheetId="0" hidden="1">'Hoja 2'!$A$1:$P$29</definedName>
  </definedNames>
  <calcPr calcId="162913"/>
</workbook>
</file>

<file path=xl/calcChain.xml><?xml version="1.0" encoding="utf-8"?>
<calcChain xmlns="http://schemas.openxmlformats.org/spreadsheetml/2006/main">
  <c r="M10" i="1" l="1"/>
  <c r="O10" i="1" s="1"/>
  <c r="P10" i="1" s="1"/>
  <c r="M7" i="1"/>
  <c r="O7" i="1" s="1"/>
  <c r="P7" i="1" s="1"/>
  <c r="M5" i="1"/>
  <c r="O5" i="1" s="1"/>
  <c r="P5" i="1" s="1"/>
  <c r="M8" i="1"/>
  <c r="O8" i="1" s="1"/>
  <c r="P8" i="1" s="1"/>
  <c r="M4" i="1"/>
  <c r="O4" i="1" s="1"/>
  <c r="P4" i="1" s="1"/>
  <c r="M6" i="1"/>
  <c r="O6" i="1" s="1"/>
  <c r="P6" i="1" s="1"/>
  <c r="P13" i="1"/>
  <c r="P25" i="1"/>
  <c r="O3" i="1"/>
  <c r="P3" i="1" s="1"/>
  <c r="O9" i="1"/>
  <c r="P9" i="1" s="1"/>
  <c r="O11" i="1"/>
  <c r="P11" i="1" s="1"/>
  <c r="O12" i="1"/>
  <c r="P12" i="1" s="1"/>
  <c r="O13" i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O26" i="1"/>
  <c r="P26" i="1" s="1"/>
  <c r="O27" i="1"/>
  <c r="P27" i="1" s="1"/>
  <c r="O28" i="1"/>
  <c r="P28" i="1" s="1"/>
  <c r="G2" i="1"/>
  <c r="O2" i="1"/>
  <c r="P2" i="1" s="1"/>
  <c r="P29" i="1" l="1"/>
  <c r="G28" i="1"/>
  <c r="H28" i="1" s="1"/>
  <c r="D28" i="1"/>
  <c r="G27" i="1"/>
  <c r="H27" i="1" s="1"/>
  <c r="D27" i="1"/>
  <c r="G26" i="1"/>
  <c r="H26" i="1" s="1"/>
  <c r="D26" i="1"/>
  <c r="H25" i="1"/>
  <c r="G25" i="1"/>
  <c r="D25" i="1"/>
  <c r="G24" i="1"/>
  <c r="H24" i="1" s="1"/>
  <c r="D24" i="1"/>
  <c r="G23" i="1"/>
  <c r="H23" i="1" s="1"/>
  <c r="D23" i="1"/>
  <c r="G22" i="1"/>
  <c r="H22" i="1" s="1"/>
  <c r="D22" i="1"/>
  <c r="G21" i="1"/>
  <c r="H21" i="1" s="1"/>
  <c r="D21" i="1"/>
  <c r="G20" i="1"/>
  <c r="H20" i="1" s="1"/>
  <c r="D20" i="1"/>
  <c r="G19" i="1"/>
  <c r="H19" i="1" s="1"/>
  <c r="D19" i="1"/>
  <c r="G18" i="1"/>
  <c r="H18" i="1" s="1"/>
  <c r="D18" i="1"/>
  <c r="G17" i="1"/>
  <c r="H17" i="1" s="1"/>
  <c r="D17" i="1"/>
  <c r="G16" i="1"/>
  <c r="H16" i="1" s="1"/>
  <c r="D16" i="1"/>
  <c r="G15" i="1"/>
  <c r="H15" i="1" s="1"/>
  <c r="D15" i="1"/>
  <c r="G14" i="1"/>
  <c r="H14" i="1" s="1"/>
  <c r="D14" i="1"/>
  <c r="G13" i="1"/>
  <c r="H13" i="1" s="1"/>
  <c r="D13" i="1"/>
  <c r="G12" i="1"/>
  <c r="H12" i="1" s="1"/>
  <c r="D12" i="1"/>
  <c r="G11" i="1"/>
  <c r="H11" i="1" s="1"/>
  <c r="D11" i="1"/>
  <c r="B10" i="1"/>
  <c r="G10" i="1" s="1"/>
  <c r="H10" i="1" s="1"/>
  <c r="G9" i="1"/>
  <c r="H9" i="1" s="1"/>
  <c r="D9" i="1"/>
  <c r="G8" i="1"/>
  <c r="H8" i="1" s="1"/>
  <c r="B8" i="1"/>
  <c r="D8" i="1" s="1"/>
  <c r="G7" i="1"/>
  <c r="H7" i="1" s="1"/>
  <c r="D7" i="1"/>
  <c r="G6" i="1"/>
  <c r="H6" i="1" s="1"/>
  <c r="D6" i="1"/>
  <c r="B6" i="1"/>
  <c r="G5" i="1"/>
  <c r="H5" i="1" s="1"/>
  <c r="D5" i="1"/>
  <c r="B5" i="1"/>
  <c r="G4" i="1"/>
  <c r="H4" i="1" s="1"/>
  <c r="D4" i="1"/>
  <c r="B4" i="1"/>
  <c r="G3" i="1"/>
  <c r="H3" i="1" s="1"/>
  <c r="D3" i="1"/>
  <c r="H2" i="1"/>
  <c r="D2" i="1"/>
  <c r="H29" i="1" l="1"/>
  <c r="D10" i="1"/>
  <c r="D29" i="1" s="1"/>
</calcChain>
</file>

<file path=xl/sharedStrings.xml><?xml version="1.0" encoding="utf-8"?>
<sst xmlns="http://schemas.openxmlformats.org/spreadsheetml/2006/main" count="109" uniqueCount="82">
  <si>
    <t>Articulo</t>
  </si>
  <si>
    <t>Cantidad</t>
  </si>
  <si>
    <t>Precio compra</t>
  </si>
  <si>
    <t>Precio total</t>
  </si>
  <si>
    <t>FISICO BODEGA</t>
  </si>
  <si>
    <t>GUIA GREADA</t>
  </si>
  <si>
    <t>PENDIENTE</t>
  </si>
  <si>
    <t>VALOR PENDIENTE</t>
  </si>
  <si>
    <t>Proveedor</t>
  </si>
  <si>
    <t>Link Producto</t>
  </si>
  <si>
    <t>ORGANIZADOR DE ROPA PARA ARMARIO</t>
  </si>
  <si>
    <t>Adma</t>
  </si>
  <si>
    <t>https://drive.google.com/drive/folders/1r6xGe4H4n2aUvqjkTnVc2vxqvUunDxXZ</t>
  </si>
  <si>
    <t xml:space="preserve">AURICULARES INALAMBRICOS </t>
  </si>
  <si>
    <t>https://drive.google.com/drive/folders/1XSnB3h-EE0olC19hE5NxP4N811dpVUzr</t>
  </si>
  <si>
    <t xml:space="preserve">LAMPARA DE CRISTAL RGB </t>
  </si>
  <si>
    <t>https://drive.google.com/drive/u/3/folders/1UBpTxZQ2RJ3WB7FvyHJiXEd4LmaBX59l</t>
  </si>
  <si>
    <t xml:space="preserve">LAMPARA LUZ LED EN FORMA DE ESFERA </t>
  </si>
  <si>
    <t>https://drive.google.com/drive/folders/1yzZXKvqEr_Cvwb9xYQUfG_c6oQa8VPo-</t>
  </si>
  <si>
    <t xml:space="preserve">BOMBILLO CAMARA WIFI </t>
  </si>
  <si>
    <t>https://drive.google.com/drive/u/0/folders/1uTbkXKaxeBLcSa-vG5y5Vvd3YJrMNyED</t>
  </si>
  <si>
    <t>PULVERIZADOR DE CEMENTO</t>
  </si>
  <si>
    <t>https://drive.google.com/drive/u/0/folders/1Sge9urdLHGNOHe7frlTvjkDjefrvj4Jd</t>
  </si>
  <si>
    <t xml:space="preserve">LAMPARA LUZ LED 6 SALIDAS </t>
  </si>
  <si>
    <t>https://drive.google.com/drive/u/0/folders/1QSKm8jo0YMUqijBEMwSPto2u5BONgIzk</t>
  </si>
  <si>
    <t>AURICULARES INALAMBRICOS CON PANTALLA LED</t>
  </si>
  <si>
    <t>https://drive.google.com/drive/folders/1msWZz6_ctH3J7BiNJAsFvgtyTkpsWB4s</t>
  </si>
  <si>
    <t>SHOE BOX (CAJA ZAPATOS ACRILICO)</t>
  </si>
  <si>
    <t>https://drive.google.com/drive/u/0/folders/17hI62tvsl0MWWeF1ddZ8pYEXxqB3Izmz</t>
  </si>
  <si>
    <t xml:space="preserve">MALETIN PARA LAVAR ZAPATOS AMARILLO </t>
  </si>
  <si>
    <t>https://drive.google.com/drive/u/0/folders/1p7gfXm4DxgZNRzoN_btN8ByqF5E93qc_</t>
  </si>
  <si>
    <t xml:space="preserve">PLANCHA PARA CABELLO NOVA </t>
  </si>
  <si>
    <t>MAQUINA AFEITADORA DORADA</t>
  </si>
  <si>
    <t>https://drive.google.com/drive/u/0/folders/1Pesm6rZsJGLm0PzHR7RITzj7H1CHdhrE</t>
  </si>
  <si>
    <t>PLANCHA DE BARBA X20</t>
  </si>
  <si>
    <t>https://drive.google.com/drive/u/0/folders/1vC4X0Eou3Us6Txt7i3sFTvCkF5FXkehD</t>
  </si>
  <si>
    <t>CERRADURA INTELIGENTE PARA PUERTA</t>
  </si>
  <si>
    <t>https://drive.google.com/drive/u/0/folders/1dRHRGO5on0nv7hoqac8moWQFWBdwJHO1</t>
  </si>
  <si>
    <t xml:space="preserve">PANTALLA LCD ANDROID PARA CARRO CON CAMARA </t>
  </si>
  <si>
    <t>https://drive.google.com/drive/u/0/folders/1jLnT-2DwtK2p7FC7iO3P0L8yCSPLb3RT</t>
  </si>
  <si>
    <t>COMPRESORES DE AIRE</t>
  </si>
  <si>
    <t>https://drive.google.com/drive/folders/1cM7tAM1IcIeWRB11vFXnegYNhPabXmbk</t>
  </si>
  <si>
    <t>CEPILLO TERAPIA CAPILAR COLOR GRIS</t>
  </si>
  <si>
    <t>https://drive.google.com/drive/folders/1GIg_w3SjDziC5zWKK0pFtA_yjCfIGdPP</t>
  </si>
  <si>
    <t>JUGUETE LASER PARA GATOS</t>
  </si>
  <si>
    <t>https://drive.google.com/drive/u/3/folders/19m8v1MopSgJqouNtaNvHW66wOqxZ1Q6n</t>
  </si>
  <si>
    <t>COLCHON PARA CARRO</t>
  </si>
  <si>
    <t>https://drive.google.com/drive/u/3/folders/1Lo1DGPP8XZcXQ8pkswud3ktIyIMInPYc</t>
  </si>
  <si>
    <t>REMINGTON PLANCHA PARA CABELLO</t>
  </si>
  <si>
    <t>CENICERO PURIFICADOR DE AIRE</t>
  </si>
  <si>
    <t>https://drive.google.com/drive/folders/11SvqKhba9_bPXToIJSHG06GV4AS2gImr</t>
  </si>
  <si>
    <t>ESTERILIZADOR DE CEPILLO DE LUJO</t>
  </si>
  <si>
    <t>https://drive.google.com/drive/u/3/folders/1lR_uWbvaZzCaDUvTjfSSG-4JVnXTjuvc</t>
  </si>
  <si>
    <t>METRO LASER AMARILLO</t>
  </si>
  <si>
    <t>https://drive.google.com/drive/u/0/folders/1mBdQKlaOSgqAaVFyPsbIU9OnBrE6MTf7</t>
  </si>
  <si>
    <t>CEPILLO SECADOR ONE STEP</t>
  </si>
  <si>
    <t>https://drive.google.com/drive/u/0/folders/1cpSOj6KITEciMBkVf15x_Dz52_XJqkg3</t>
  </si>
  <si>
    <t>SOPORTE DE LAPTOP PLEGABLE</t>
  </si>
  <si>
    <t>https://drive.google.com/drive/u/0/folders/1NEt3uBlku2NVI2zrislCW0dsRG4Eyhzr</t>
  </si>
  <si>
    <t>MASAJEADOR DE CABEZA USB</t>
  </si>
  <si>
    <t>https://drive.google.com/drive/u/0/folders/1TfhXoJUgoqXN7EtusGeR5SNU7kPcfz_v</t>
  </si>
  <si>
    <t>MASAJEADOR DE CUELLO</t>
  </si>
  <si>
    <t>https://drive.google.com/drive/u/0/folders/1_j-rId4U-BVvvORiRxu122N9owQt00ho</t>
  </si>
  <si>
    <t>Cantidad por Caja</t>
  </si>
  <si>
    <t>Cantidad de Cajas</t>
  </si>
  <si>
    <t>Guias de Devolucion</t>
  </si>
  <si>
    <t>Pendiente</t>
  </si>
  <si>
    <t>Valor Pendiente</t>
  </si>
  <si>
    <t>Total Devueltos</t>
  </si>
  <si>
    <t>https://drive.google.com/drive/folders/1stEjzyDtbcJMWAQf_vOB4BCUP2VpKFxA?usp=drive_link</t>
  </si>
  <si>
    <t>https://drive.google.com/drive/folders/1Rtz6Iuv1SiVU5AmRqkPW0Tu9_j2N1qLk?usp=drive_link</t>
  </si>
  <si>
    <t>https://drive.google.com/drive/folders/1j7hkg9TB2Vu58pQsH2W3x_YPgEoX37BN?usp=drive_link</t>
  </si>
  <si>
    <t>https://drive.google.com/drive/folders/1eesSQLWjY2LPbvQwbsImX3ORrYWT_LRZ?usp=drive_link</t>
  </si>
  <si>
    <t>https://drive.google.com/drive/folders/1eXif_sxFH0ZloaBssHKWEx7-EKI5tP2p?usp=drive_link</t>
  </si>
  <si>
    <t>https://drive.google.com/drive/folders/1i0DLEGCuxNJ89cMLeBWd4NQFqOjI_Pa0?usp=drive_link</t>
  </si>
  <si>
    <t>https://drive.google.com/drive/folders/1dzra3Js9W1fqI6JcQnQtN9u0oYtQBRnP?usp=drive_link</t>
  </si>
  <si>
    <t>https://drive.google.com/drive/folders/1XKBIIa1j3lbHRJhWnAH3RCC5TSLjS-fJ?usp=drive_link</t>
  </si>
  <si>
    <t>https://drive.google.com/drive/folders/1RD0wGZN4YFJ6Qykp5P2c240Ciy2oOJf6?usp=drive_link</t>
  </si>
  <si>
    <t>https://drive.google.com/drive/folders/1D2-3Zo9fdEaHhKqD_5nbfxgpEXZdxa7u?usp=drive_link</t>
  </si>
  <si>
    <t>https://drive.google.com/drive/folders/193xibcA3TnRZ35nlaWKFvhjCOXEDS4Ji?usp=drive_link</t>
  </si>
  <si>
    <t>https://drive.google.com/drive/folders/1rCy_kSM83uNxB2CV9Oro6Y6S_WRaaUzN?usp=drive_link</t>
  </si>
  <si>
    <t>https://drive.google.com/drive/folders/1Nl4ZUK0tO5gpCe62dxbZJ4AeNsNqtagJ?usp=drive_link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</si>
</sst>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5" fillId="0" borderId="1" xfId="0" applyFont="1" applyBorder="1" applyAlignment="1"/>
    <xf numFmtId="164" fontId="6" fillId="2" borderId="0" xfId="0" applyNumberFormat="1" applyFont="1" applyFill="1"/>
    <xf numFmtId="0" fontId="6" fillId="0" borderId="0" xfId="0" applyFont="1" applyAlignment="1"/>
    <xf numFmtId="164" fontId="6" fillId="3" borderId="0" xfId="0" applyNumberFormat="1" applyFont="1" applyFill="1"/>
    <xf numFmtId="0" fontId="0" fillId="0" borderId="0" xfId="0" applyFont="1" applyAlignment="1">
      <alignment horizontal="center"/>
    </xf>
    <xf numFmtId="164" fontId="0" fillId="0" borderId="0" xfId="0" applyNumberFormat="1" applyFont="1" applyAlignment="1"/>
    <xf numFmtId="0" fontId="1" fillId="0" borderId="3" xfId="0" applyFont="1" applyBorder="1" applyAlignment="1">
      <alignment horizontal="center"/>
    </xf>
    <xf numFmtId="0" fontId="3" fillId="0" borderId="3" xfId="0" applyFont="1" applyBorder="1" applyAlignment="1"/>
    <xf numFmtId="0" fontId="4" fillId="0" borderId="3" xfId="0" applyFont="1" applyBorder="1" applyAlignment="1"/>
    <xf numFmtId="0" fontId="2" fillId="0" borderId="3" xfId="0" applyFont="1" applyBorder="1" applyAlignment="1"/>
    <xf numFmtId="0" fontId="0" fillId="0" borderId="2" xfId="0" applyFont="1" applyBorder="1" applyAlignment="1">
      <alignment horizontal="center"/>
    </xf>
    <xf numFmtId="0" fontId="7" fillId="0" borderId="2" xfId="1" applyBorder="1" applyAlignment="1"/>
    <xf numFmtId="164" fontId="0" fillId="0" borderId="2" xfId="0" applyNumberFormat="1" applyFont="1" applyBorder="1" applyAlignment="1"/>
    <xf numFmtId="0" fontId="0" fillId="0" borderId="2" xfId="0" applyFont="1" applyBorder="1" applyAlignment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u/0/folders/1dRHRGO5on0nv7hoqac8moWQFWBdwJHO1" TargetMode="External"/><Relationship Id="rId18" Type="http://schemas.openxmlformats.org/officeDocument/2006/relationships/hyperlink" Target="https://drive.google.com/drive/u/3/folders/1Lo1DGPP8XZcXQ8pkswud3ktIyIMInPYc" TargetMode="External"/><Relationship Id="rId26" Type="http://schemas.openxmlformats.org/officeDocument/2006/relationships/hyperlink" Target="https://drive.google.com/drive/folders/1stEjzyDtbcJMWAQf_vOB4BCUP2VpKFxA?usp=drive_link" TargetMode="External"/><Relationship Id="rId21" Type="http://schemas.openxmlformats.org/officeDocument/2006/relationships/hyperlink" Target="https://drive.google.com/drive/u/0/folders/1mBdQKlaOSgqAaVFyPsbIU9OnBrE6MTf7" TargetMode="External"/><Relationship Id="rId34" Type="http://schemas.openxmlformats.org/officeDocument/2006/relationships/hyperlink" Target="https://drive.google.com/drive/folders/1D2-3Zo9fdEaHhKqD_5nbfxgpEXZdxa7u?usp=drive_link" TargetMode="External"/><Relationship Id="rId7" Type="http://schemas.openxmlformats.org/officeDocument/2006/relationships/hyperlink" Target="https://drive.google.com/drive/u/0/folders/1QSKm8jo0YMUqijBEMwSPto2u5BONgIzk" TargetMode="External"/><Relationship Id="rId12" Type="http://schemas.openxmlformats.org/officeDocument/2006/relationships/hyperlink" Target="https://drive.google.com/drive/u/0/folders/1vC4X0Eou3Us6Txt7i3sFTvCkF5FXkehD" TargetMode="External"/><Relationship Id="rId17" Type="http://schemas.openxmlformats.org/officeDocument/2006/relationships/hyperlink" Target="https://drive.google.com/drive/u/3/folders/19m8v1MopSgJqouNtaNvHW66wOqxZ1Q6n" TargetMode="External"/><Relationship Id="rId25" Type="http://schemas.openxmlformats.org/officeDocument/2006/relationships/hyperlink" Target="https://drive.google.com/drive/u/0/folders/1_j-rId4U-BVvvORiRxu122N9owQt00ho" TargetMode="External"/><Relationship Id="rId33" Type="http://schemas.openxmlformats.org/officeDocument/2006/relationships/hyperlink" Target="https://drive.google.com/drive/folders/1RD0wGZN4YFJ6Qykp5P2c240Ciy2oOJf6?usp=drive_link" TargetMode="External"/><Relationship Id="rId2" Type="http://schemas.openxmlformats.org/officeDocument/2006/relationships/hyperlink" Target="https://drive.google.com/drive/folders/1XSnB3h-EE0olC19hE5NxP4N811dpVUzr" TargetMode="External"/><Relationship Id="rId16" Type="http://schemas.openxmlformats.org/officeDocument/2006/relationships/hyperlink" Target="https://drive.google.com/drive/folders/1GIg_w3SjDziC5zWKK0pFtA_yjCfIGdPP" TargetMode="External"/><Relationship Id="rId20" Type="http://schemas.openxmlformats.org/officeDocument/2006/relationships/hyperlink" Target="https://drive.google.com/drive/u/3/folders/1lR_uWbvaZzCaDUvTjfSSG-4JVnXTjuvc" TargetMode="External"/><Relationship Id="rId29" Type="http://schemas.openxmlformats.org/officeDocument/2006/relationships/hyperlink" Target="https://drive.google.com/drive/folders/1eesSQLWjY2LPbvQwbsImX3ORrYWT_LRZ?usp=drive_link" TargetMode="External"/><Relationship Id="rId1" Type="http://schemas.openxmlformats.org/officeDocument/2006/relationships/hyperlink" Target="https://drive.google.com/drive/folders/1r6xGe4H4n2aUvqjkTnVc2vxqvUunDxXZ" TargetMode="External"/><Relationship Id="rId6" Type="http://schemas.openxmlformats.org/officeDocument/2006/relationships/hyperlink" Target="https://drive.google.com/drive/u/0/folders/1Sge9urdLHGNOHe7frlTvjkDjefrvj4Jd" TargetMode="External"/><Relationship Id="rId11" Type="http://schemas.openxmlformats.org/officeDocument/2006/relationships/hyperlink" Target="https://drive.google.com/drive/u/0/folders/1Pesm6rZsJGLm0PzHR7RITzj7H1CHdhrE" TargetMode="External"/><Relationship Id="rId24" Type="http://schemas.openxmlformats.org/officeDocument/2006/relationships/hyperlink" Target="https://drive.google.com/drive/u/0/folders/1TfhXoJUgoqXN7EtusGeR5SNU7kPcfz_v" TargetMode="External"/><Relationship Id="rId32" Type="http://schemas.openxmlformats.org/officeDocument/2006/relationships/hyperlink" Target="https://drive.google.com/drive/folders/1XKBIIa1j3lbHRJhWnAH3RCC5TSLjS-fJ?usp=drive_link" TargetMode="External"/><Relationship Id="rId37" Type="http://schemas.openxmlformats.org/officeDocument/2006/relationships/hyperlink" Target="https://drive.google.com/drive/folders/1Nl4ZUK0tO5gpCe62dxbZJ4AeNsNqtagJ?usp=drive_link" TargetMode="External"/><Relationship Id="rId5" Type="http://schemas.openxmlformats.org/officeDocument/2006/relationships/hyperlink" Target="https://drive.google.com/drive/u/0/folders/1uTbkXKaxeBLcSa-vG5y5Vvd3YJrMNyED" TargetMode="External"/><Relationship Id="rId15" Type="http://schemas.openxmlformats.org/officeDocument/2006/relationships/hyperlink" Target="https://drive.google.com/drive/folders/1cM7tAM1IcIeWRB11vFXnegYNhPabXmbk" TargetMode="External"/><Relationship Id="rId23" Type="http://schemas.openxmlformats.org/officeDocument/2006/relationships/hyperlink" Target="https://drive.google.com/drive/u/0/folders/1NEt3uBlku2NVI2zrislCW0dsRG4Eyhzr" TargetMode="External"/><Relationship Id="rId28" Type="http://schemas.openxmlformats.org/officeDocument/2006/relationships/hyperlink" Target="https://drive.google.com/drive/folders/1j7hkg9TB2Vu58pQsH2W3x_YPgEoX37BN?usp=drive_link" TargetMode="External"/><Relationship Id="rId36" Type="http://schemas.openxmlformats.org/officeDocument/2006/relationships/hyperlink" Target="https://drive.google.com/drive/folders/1rCy_kSM83uNxB2CV9Oro6Y6S_WRaaUzN?usp=drive_link" TargetMode="External"/><Relationship Id="rId10" Type="http://schemas.openxmlformats.org/officeDocument/2006/relationships/hyperlink" Target="https://drive.google.com/drive/u/0/folders/1p7gfXm4DxgZNRzoN_btN8ByqF5E93qc_" TargetMode="External"/><Relationship Id="rId19" Type="http://schemas.openxmlformats.org/officeDocument/2006/relationships/hyperlink" Target="https://drive.google.com/drive/folders/11SvqKhba9_bPXToIJSHG06GV4AS2gImr" TargetMode="External"/><Relationship Id="rId31" Type="http://schemas.openxmlformats.org/officeDocument/2006/relationships/hyperlink" Target="https://drive.google.com/drive/folders/1i0DLEGCuxNJ89cMLeBWd4NQFqOjI_Pa0?usp=drive_link" TargetMode="External"/><Relationship Id="rId4" Type="http://schemas.openxmlformats.org/officeDocument/2006/relationships/hyperlink" Target="https://drive.google.com/drive/folders/1yzZXKvqEr_Cvwb9xYQUfG_c6oQa8VPo-" TargetMode="External"/><Relationship Id="rId9" Type="http://schemas.openxmlformats.org/officeDocument/2006/relationships/hyperlink" Target="https://drive.google.com/drive/u/0/folders/17hI62tvsl0MWWeF1ddZ8pYEXxqB3Izmz" TargetMode="External"/><Relationship Id="rId14" Type="http://schemas.openxmlformats.org/officeDocument/2006/relationships/hyperlink" Target="https://drive.google.com/drive/u/0/folders/1jLnT-2DwtK2p7FC7iO3P0L8yCSPLb3RT" TargetMode="External"/><Relationship Id="rId22" Type="http://schemas.openxmlformats.org/officeDocument/2006/relationships/hyperlink" Target="https://drive.google.com/drive/u/0/folders/1cpSOj6KITEciMBkVf15x_Dz52_XJqkg3" TargetMode="External"/><Relationship Id="rId27" Type="http://schemas.openxmlformats.org/officeDocument/2006/relationships/hyperlink" Target="https://drive.google.com/drive/folders/1Rtz6Iuv1SiVU5AmRqkPW0Tu9_j2N1qLk?usp=drive_link" TargetMode="External"/><Relationship Id="rId30" Type="http://schemas.openxmlformats.org/officeDocument/2006/relationships/hyperlink" Target="https://drive.google.com/drive/folders/1eXif_sxFH0ZloaBssHKWEx7-EKI5tP2p?usp=drive_link" TargetMode="External"/><Relationship Id="rId35" Type="http://schemas.openxmlformats.org/officeDocument/2006/relationships/hyperlink" Target="https://drive.google.com/drive/folders/193xibcA3TnRZ35nlaWKFvhjCOXEDS4Ji?usp=drive_link" TargetMode="External"/><Relationship Id="rId8" Type="http://schemas.openxmlformats.org/officeDocument/2006/relationships/hyperlink" Target="https://drive.google.com/drive/folders/1msWZz6_ctH3J7BiNJAsFvgtyTkpsWB4s" TargetMode="External"/><Relationship Id="rId3" Type="http://schemas.openxmlformats.org/officeDocument/2006/relationships/hyperlink" Target="https://drive.google.com/drive/u/3/folders/1UBpTxZQ2RJ3WB7FvyHJiXEd4LmaBX59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9"/>
  <sheetViews>
    <sheetView tabSelected="1" topLeftCell="F1" workbookViewId="0">
      <selection activeCell="L8" sqref="L8"/>
    </sheetView>
  </sheetViews>
  <sheetFormatPr baseColWidth="10" defaultColWidth="12.5703125" defaultRowHeight="15.75" customHeight="1" x14ac:dyDescent="0.2"/>
  <cols>
    <col min="1" max="1" width="40.5703125" customWidth="1"/>
    <col min="5" max="5" width="17.7109375" customWidth="1"/>
    <col min="6" max="6" width="14.7109375" customWidth="1"/>
    <col min="8" max="8" width="20.28515625" customWidth="1"/>
    <col min="9" max="9" width="0" hidden="1" customWidth="1"/>
    <col min="10" max="10" width="74.85546875" hidden="1" customWidth="1"/>
    <col min="11" max="11" width="17.5703125" style="15" bestFit="1" customWidth="1"/>
    <col min="12" max="12" width="17.7109375" style="15" bestFit="1" customWidth="1"/>
    <col min="13" max="13" width="15" style="15" bestFit="1" customWidth="1"/>
    <col min="14" max="14" width="19.85546875" bestFit="1" customWidth="1"/>
    <col min="15" max="15" width="12.5703125" style="15"/>
    <col min="16" max="16" width="18" bestFit="1" customWidth="1"/>
  </cols>
  <sheetData>
    <row r="1" spans="1:16" ht="12.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7" t="s">
        <v>9</v>
      </c>
      <c r="K1" s="25" t="s">
        <v>63</v>
      </c>
      <c r="L1" s="25" t="s">
        <v>64</v>
      </c>
      <c r="M1" s="25" t="s">
        <v>68</v>
      </c>
      <c r="N1" s="26" t="s">
        <v>65</v>
      </c>
      <c r="O1" s="25" t="s">
        <v>66</v>
      </c>
      <c r="P1" s="26" t="s">
        <v>67</v>
      </c>
    </row>
    <row r="2" spans="1:16" ht="12.75" x14ac:dyDescent="0.2">
      <c r="A2" s="5" t="s">
        <v>10</v>
      </c>
      <c r="B2" s="6">
        <v>920</v>
      </c>
      <c r="C2" s="7">
        <v>30500</v>
      </c>
      <c r="D2" s="8">
        <f t="shared" ref="D2:D28" si="0">B2*C2</f>
        <v>28060000</v>
      </c>
      <c r="E2" s="9">
        <v>840</v>
      </c>
      <c r="F2" s="5"/>
      <c r="G2" s="5">
        <f>B2-E2</f>
        <v>80</v>
      </c>
      <c r="H2" s="10">
        <f t="shared" ref="H2:H28" si="1">G2*C2</f>
        <v>2440000</v>
      </c>
      <c r="I2" s="5" t="s">
        <v>11</v>
      </c>
      <c r="J2" s="18" t="s">
        <v>12</v>
      </c>
      <c r="K2" s="21">
        <v>50</v>
      </c>
      <c r="L2" s="21">
        <v>19</v>
      </c>
      <c r="M2" s="21">
        <v>920</v>
      </c>
      <c r="N2" s="22" t="s">
        <v>77</v>
      </c>
      <c r="O2" s="21">
        <f>+B2-M2</f>
        <v>0</v>
      </c>
      <c r="P2" s="23">
        <f>+O2*C2</f>
        <v>0</v>
      </c>
    </row>
    <row r="3" spans="1:16" ht="12.75" x14ac:dyDescent="0.2">
      <c r="A3" s="5" t="s">
        <v>13</v>
      </c>
      <c r="B3" s="6">
        <v>463</v>
      </c>
      <c r="C3" s="7">
        <v>32000</v>
      </c>
      <c r="D3" s="8">
        <f t="shared" si="0"/>
        <v>14816000</v>
      </c>
      <c r="E3" s="9">
        <v>400</v>
      </c>
      <c r="F3" s="5"/>
      <c r="G3" s="5">
        <f t="shared" ref="G2:G28" si="2">B3-E3</f>
        <v>63</v>
      </c>
      <c r="H3" s="10">
        <f t="shared" si="1"/>
        <v>2016000</v>
      </c>
      <c r="I3" s="5" t="s">
        <v>11</v>
      </c>
      <c r="J3" s="19" t="s">
        <v>14</v>
      </c>
      <c r="K3" s="21">
        <v>100</v>
      </c>
      <c r="L3" s="21">
        <v>4</v>
      </c>
      <c r="M3" s="21">
        <v>457</v>
      </c>
      <c r="N3" s="22" t="s">
        <v>70</v>
      </c>
      <c r="O3" s="21">
        <f t="shared" ref="O3:O28" si="3">+B3-M3</f>
        <v>6</v>
      </c>
      <c r="P3" s="23">
        <f t="shared" ref="P3:P28" si="4">+O3*C3</f>
        <v>192000</v>
      </c>
    </row>
    <row r="4" spans="1:16" ht="15.75" customHeight="1" x14ac:dyDescent="0.25">
      <c r="A4" s="11" t="s">
        <v>15</v>
      </c>
      <c r="B4" s="6">
        <f>18*20</f>
        <v>360</v>
      </c>
      <c r="C4" s="7">
        <v>22000</v>
      </c>
      <c r="D4" s="8">
        <f t="shared" si="0"/>
        <v>7920000</v>
      </c>
      <c r="E4" s="9">
        <v>360</v>
      </c>
      <c r="F4" s="9">
        <v>360</v>
      </c>
      <c r="G4" s="5">
        <f t="shared" si="2"/>
        <v>0</v>
      </c>
      <c r="H4" s="10">
        <f t="shared" si="1"/>
        <v>0</v>
      </c>
      <c r="I4" s="5" t="s">
        <v>11</v>
      </c>
      <c r="J4" s="18" t="s">
        <v>16</v>
      </c>
      <c r="K4" s="21">
        <v>30</v>
      </c>
      <c r="L4" s="21">
        <v>12</v>
      </c>
      <c r="M4" s="21">
        <f>+K4*L4</f>
        <v>360</v>
      </c>
      <c r="N4" s="22" t="s">
        <v>73</v>
      </c>
      <c r="O4" s="21">
        <f t="shared" si="3"/>
        <v>0</v>
      </c>
      <c r="P4" s="23">
        <f t="shared" si="4"/>
        <v>0</v>
      </c>
    </row>
    <row r="5" spans="1:16" ht="15.75" customHeight="1" x14ac:dyDescent="0.25">
      <c r="A5" s="11" t="s">
        <v>17</v>
      </c>
      <c r="B5" s="6">
        <f>12*30</f>
        <v>360</v>
      </c>
      <c r="C5" s="7">
        <v>15800</v>
      </c>
      <c r="D5" s="8">
        <f t="shared" si="0"/>
        <v>5688000</v>
      </c>
      <c r="E5" s="9">
        <v>360</v>
      </c>
      <c r="F5" s="9">
        <v>360</v>
      </c>
      <c r="G5" s="5">
        <f t="shared" si="2"/>
        <v>0</v>
      </c>
      <c r="H5" s="10">
        <f t="shared" si="1"/>
        <v>0</v>
      </c>
      <c r="I5" s="5" t="s">
        <v>11</v>
      </c>
      <c r="J5" s="18" t="s">
        <v>18</v>
      </c>
      <c r="K5" s="21">
        <v>30</v>
      </c>
      <c r="L5" s="21">
        <v>12</v>
      </c>
      <c r="M5" s="21">
        <f>+K5*L5</f>
        <v>360</v>
      </c>
      <c r="N5" s="22" t="s">
        <v>75</v>
      </c>
      <c r="O5" s="21">
        <f t="shared" si="3"/>
        <v>0</v>
      </c>
      <c r="P5" s="23">
        <f t="shared" si="4"/>
        <v>0</v>
      </c>
    </row>
    <row r="6" spans="1:16" ht="15.75" customHeight="1" x14ac:dyDescent="0.25">
      <c r="A6" s="11" t="s">
        <v>19</v>
      </c>
      <c r="B6" s="6">
        <f>7*50</f>
        <v>350</v>
      </c>
      <c r="C6" s="7">
        <v>30000</v>
      </c>
      <c r="D6" s="8">
        <f t="shared" si="0"/>
        <v>10500000</v>
      </c>
      <c r="E6" s="9">
        <v>150</v>
      </c>
      <c r="F6" s="5"/>
      <c r="G6" s="5">
        <f t="shared" si="2"/>
        <v>200</v>
      </c>
      <c r="H6" s="10">
        <f t="shared" si="1"/>
        <v>6000000</v>
      </c>
      <c r="I6" s="5" t="s">
        <v>11</v>
      </c>
      <c r="J6" s="18" t="s">
        <v>20</v>
      </c>
      <c r="K6" s="21">
        <v>50</v>
      </c>
      <c r="L6" s="21">
        <v>6</v>
      </c>
      <c r="M6" s="21">
        <f>+K6*L6</f>
        <v>300</v>
      </c>
      <c r="N6" s="22" t="s">
        <v>71</v>
      </c>
      <c r="O6" s="21">
        <f t="shared" si="3"/>
        <v>50</v>
      </c>
      <c r="P6" s="23">
        <f t="shared" si="4"/>
        <v>1500000</v>
      </c>
    </row>
    <row r="7" spans="1:16" ht="12.75" x14ac:dyDescent="0.2">
      <c r="A7" s="5" t="s">
        <v>21</v>
      </c>
      <c r="B7" s="6">
        <v>272</v>
      </c>
      <c r="C7" s="7">
        <v>92000</v>
      </c>
      <c r="D7" s="8">
        <f t="shared" si="0"/>
        <v>25024000</v>
      </c>
      <c r="E7" s="9">
        <v>256</v>
      </c>
      <c r="F7" s="9">
        <v>16</v>
      </c>
      <c r="G7" s="5">
        <f t="shared" si="2"/>
        <v>16</v>
      </c>
      <c r="H7" s="10">
        <f t="shared" si="1"/>
        <v>1472000</v>
      </c>
      <c r="I7" s="5" t="s">
        <v>11</v>
      </c>
      <c r="J7" s="19" t="s">
        <v>22</v>
      </c>
      <c r="K7" s="21">
        <v>8</v>
      </c>
      <c r="L7" s="21">
        <v>34</v>
      </c>
      <c r="M7" s="21">
        <f>+K7*L7</f>
        <v>272</v>
      </c>
      <c r="N7" s="22" t="s">
        <v>80</v>
      </c>
      <c r="O7" s="21">
        <f t="shared" si="3"/>
        <v>0</v>
      </c>
      <c r="P7" s="23">
        <f t="shared" si="4"/>
        <v>0</v>
      </c>
    </row>
    <row r="8" spans="1:16" ht="15.75" customHeight="1" x14ac:dyDescent="0.25">
      <c r="A8" s="11" t="s">
        <v>23</v>
      </c>
      <c r="B8" s="6">
        <f>40*5</f>
        <v>200</v>
      </c>
      <c r="C8" s="7">
        <v>20700</v>
      </c>
      <c r="D8" s="8">
        <f t="shared" si="0"/>
        <v>4140000</v>
      </c>
      <c r="E8" s="9">
        <v>160</v>
      </c>
      <c r="G8" s="5">
        <f t="shared" si="2"/>
        <v>40</v>
      </c>
      <c r="H8" s="10">
        <f t="shared" si="1"/>
        <v>828000</v>
      </c>
      <c r="I8" s="5" t="s">
        <v>11</v>
      </c>
      <c r="J8" s="18" t="s">
        <v>24</v>
      </c>
      <c r="K8" s="21">
        <v>40</v>
      </c>
      <c r="L8" s="21">
        <v>5</v>
      </c>
      <c r="M8" s="21">
        <f>+K8*L8</f>
        <v>200</v>
      </c>
      <c r="N8" s="22" t="s">
        <v>74</v>
      </c>
      <c r="O8" s="21">
        <f t="shared" si="3"/>
        <v>0</v>
      </c>
      <c r="P8" s="23">
        <f t="shared" si="4"/>
        <v>0</v>
      </c>
    </row>
    <row r="9" spans="1:16" ht="15.75" customHeight="1" x14ac:dyDescent="0.25">
      <c r="A9" s="11" t="s">
        <v>25</v>
      </c>
      <c r="B9" s="6">
        <v>150</v>
      </c>
      <c r="C9" s="7">
        <v>52800</v>
      </c>
      <c r="D9" s="8">
        <f t="shared" si="0"/>
        <v>7920000</v>
      </c>
      <c r="E9" s="5"/>
      <c r="F9" s="5"/>
      <c r="G9" s="5">
        <f t="shared" si="2"/>
        <v>150</v>
      </c>
      <c r="H9" s="10">
        <f t="shared" si="1"/>
        <v>7920000</v>
      </c>
      <c r="I9" s="5" t="s">
        <v>11</v>
      </c>
      <c r="J9" s="18" t="s">
        <v>26</v>
      </c>
      <c r="K9" s="21">
        <v>100</v>
      </c>
      <c r="L9" s="21">
        <v>2</v>
      </c>
      <c r="M9" s="21">
        <v>150</v>
      </c>
      <c r="N9" s="22" t="s">
        <v>69</v>
      </c>
      <c r="O9" s="21">
        <f t="shared" si="3"/>
        <v>0</v>
      </c>
      <c r="P9" s="23">
        <f t="shared" si="4"/>
        <v>0</v>
      </c>
    </row>
    <row r="10" spans="1:16" ht="15.75" customHeight="1" x14ac:dyDescent="0.25">
      <c r="A10" s="11" t="s">
        <v>27</v>
      </c>
      <c r="B10" s="6">
        <f>4*27-20</f>
        <v>88</v>
      </c>
      <c r="C10" s="7">
        <v>26000</v>
      </c>
      <c r="D10" s="8">
        <f t="shared" si="0"/>
        <v>2288000</v>
      </c>
      <c r="E10" s="5"/>
      <c r="F10" s="5"/>
      <c r="G10" s="5">
        <f t="shared" si="2"/>
        <v>88</v>
      </c>
      <c r="H10" s="10">
        <f t="shared" si="1"/>
        <v>2288000</v>
      </c>
      <c r="I10" s="5" t="s">
        <v>11</v>
      </c>
      <c r="J10" s="19" t="s">
        <v>28</v>
      </c>
      <c r="K10" s="21">
        <v>26</v>
      </c>
      <c r="L10" s="21">
        <v>3</v>
      </c>
      <c r="M10" s="21">
        <f>+K10*L10</f>
        <v>78</v>
      </c>
      <c r="N10" s="22" t="s">
        <v>81</v>
      </c>
      <c r="O10" s="21">
        <f t="shared" si="3"/>
        <v>10</v>
      </c>
      <c r="P10" s="23">
        <f t="shared" si="4"/>
        <v>260000</v>
      </c>
    </row>
    <row r="11" spans="1:16" ht="15.75" customHeight="1" x14ac:dyDescent="0.25">
      <c r="A11" s="11" t="s">
        <v>29</v>
      </c>
      <c r="B11" s="6">
        <v>70</v>
      </c>
      <c r="C11" s="7">
        <v>15400</v>
      </c>
      <c r="D11" s="8">
        <f t="shared" si="0"/>
        <v>1078000</v>
      </c>
      <c r="E11" s="5"/>
      <c r="F11" s="5"/>
      <c r="G11" s="5">
        <f t="shared" si="2"/>
        <v>70</v>
      </c>
      <c r="H11" s="10">
        <f t="shared" si="1"/>
        <v>1078000</v>
      </c>
      <c r="I11" s="5" t="s">
        <v>11</v>
      </c>
      <c r="J11" s="19" t="s">
        <v>30</v>
      </c>
      <c r="K11" s="21"/>
      <c r="L11" s="21"/>
      <c r="M11" s="21"/>
      <c r="N11" s="24"/>
      <c r="O11" s="21">
        <f t="shared" si="3"/>
        <v>70</v>
      </c>
      <c r="P11" s="23">
        <f t="shared" si="4"/>
        <v>1078000</v>
      </c>
    </row>
    <row r="12" spans="1:16" ht="15.75" customHeight="1" x14ac:dyDescent="0.25">
      <c r="A12" s="11" t="s">
        <v>31</v>
      </c>
      <c r="B12" s="6">
        <v>28</v>
      </c>
      <c r="C12" s="7">
        <v>24000</v>
      </c>
      <c r="D12" s="8">
        <f t="shared" si="0"/>
        <v>672000</v>
      </c>
      <c r="E12" s="9">
        <v>28</v>
      </c>
      <c r="F12" s="5"/>
      <c r="G12" s="5">
        <f t="shared" si="2"/>
        <v>0</v>
      </c>
      <c r="H12" s="10">
        <f t="shared" si="1"/>
        <v>0</v>
      </c>
      <c r="I12" s="5" t="s">
        <v>11</v>
      </c>
      <c r="J12" s="20"/>
      <c r="K12" s="21">
        <v>28</v>
      </c>
      <c r="L12" s="21">
        <v>1</v>
      </c>
      <c r="M12" s="21">
        <v>28</v>
      </c>
      <c r="N12" s="22" t="s">
        <v>79</v>
      </c>
      <c r="O12" s="21">
        <f t="shared" si="3"/>
        <v>0</v>
      </c>
      <c r="P12" s="23">
        <f t="shared" si="4"/>
        <v>0</v>
      </c>
    </row>
    <row r="13" spans="1:16" ht="15.75" customHeight="1" x14ac:dyDescent="0.25">
      <c r="A13" s="11" t="s">
        <v>32</v>
      </c>
      <c r="B13" s="6">
        <v>20</v>
      </c>
      <c r="C13" s="7">
        <v>28000</v>
      </c>
      <c r="D13" s="8">
        <f t="shared" si="0"/>
        <v>560000</v>
      </c>
      <c r="E13" s="5"/>
      <c r="F13" s="5"/>
      <c r="G13" s="5">
        <f t="shared" si="2"/>
        <v>20</v>
      </c>
      <c r="H13" s="10">
        <f t="shared" si="1"/>
        <v>560000</v>
      </c>
      <c r="I13" s="5" t="s">
        <v>11</v>
      </c>
      <c r="J13" s="19" t="s">
        <v>33</v>
      </c>
      <c r="K13" s="21"/>
      <c r="L13" s="21"/>
      <c r="M13" s="21"/>
      <c r="N13" s="24"/>
      <c r="O13" s="21">
        <f t="shared" si="3"/>
        <v>20</v>
      </c>
      <c r="P13" s="23">
        <f t="shared" si="4"/>
        <v>560000</v>
      </c>
    </row>
    <row r="14" spans="1:16" ht="15.75" customHeight="1" x14ac:dyDescent="0.25">
      <c r="A14" s="11" t="s">
        <v>34</v>
      </c>
      <c r="B14" s="6">
        <v>20</v>
      </c>
      <c r="C14" s="7">
        <v>16000</v>
      </c>
      <c r="D14" s="8">
        <f t="shared" si="0"/>
        <v>320000</v>
      </c>
      <c r="E14" s="5"/>
      <c r="F14" s="5"/>
      <c r="G14" s="5">
        <f t="shared" si="2"/>
        <v>20</v>
      </c>
      <c r="H14" s="10">
        <f t="shared" si="1"/>
        <v>320000</v>
      </c>
      <c r="I14" s="5" t="s">
        <v>11</v>
      </c>
      <c r="J14" s="18" t="s">
        <v>35</v>
      </c>
      <c r="K14" s="21"/>
      <c r="L14" s="21"/>
      <c r="M14" s="21"/>
      <c r="N14" s="24"/>
      <c r="O14" s="21">
        <f t="shared" si="3"/>
        <v>20</v>
      </c>
      <c r="P14" s="23">
        <f t="shared" si="4"/>
        <v>320000</v>
      </c>
    </row>
    <row r="15" spans="1:16" ht="15.75" customHeight="1" x14ac:dyDescent="0.25">
      <c r="A15" s="11" t="s">
        <v>36</v>
      </c>
      <c r="B15" s="6">
        <v>9</v>
      </c>
      <c r="C15" s="7">
        <v>58000</v>
      </c>
      <c r="D15" s="8">
        <f t="shared" si="0"/>
        <v>522000</v>
      </c>
      <c r="E15" s="5"/>
      <c r="F15" s="5"/>
      <c r="G15" s="5">
        <f t="shared" si="2"/>
        <v>9</v>
      </c>
      <c r="H15" s="10">
        <f t="shared" si="1"/>
        <v>522000</v>
      </c>
      <c r="I15" s="5" t="s">
        <v>11</v>
      </c>
      <c r="J15" s="18" t="s">
        <v>37</v>
      </c>
      <c r="K15" s="21"/>
      <c r="L15" s="21"/>
      <c r="M15" s="21"/>
      <c r="N15" s="24"/>
      <c r="O15" s="21">
        <f t="shared" si="3"/>
        <v>9</v>
      </c>
      <c r="P15" s="23">
        <f t="shared" si="4"/>
        <v>522000</v>
      </c>
    </row>
    <row r="16" spans="1:16" ht="15.75" customHeight="1" x14ac:dyDescent="0.25">
      <c r="A16" s="11" t="s">
        <v>38</v>
      </c>
      <c r="B16" s="6">
        <v>6</v>
      </c>
      <c r="C16" s="7">
        <v>180000</v>
      </c>
      <c r="D16" s="8">
        <f t="shared" si="0"/>
        <v>1080000</v>
      </c>
      <c r="E16" s="5"/>
      <c r="F16" s="5"/>
      <c r="G16" s="5">
        <f t="shared" si="2"/>
        <v>6</v>
      </c>
      <c r="H16" s="10">
        <f t="shared" si="1"/>
        <v>1080000</v>
      </c>
      <c r="I16" s="5" t="s">
        <v>11</v>
      </c>
      <c r="J16" s="19" t="s">
        <v>39</v>
      </c>
      <c r="K16" s="21">
        <v>1</v>
      </c>
      <c r="L16" s="21">
        <v>1</v>
      </c>
      <c r="M16" s="21">
        <v>6</v>
      </c>
      <c r="N16" s="22" t="s">
        <v>78</v>
      </c>
      <c r="O16" s="21">
        <f t="shared" si="3"/>
        <v>0</v>
      </c>
      <c r="P16" s="23">
        <f t="shared" si="4"/>
        <v>0</v>
      </c>
    </row>
    <row r="17" spans="1:16" ht="12.75" x14ac:dyDescent="0.2">
      <c r="A17" s="5" t="s">
        <v>40</v>
      </c>
      <c r="B17" s="6">
        <v>5</v>
      </c>
      <c r="C17" s="7">
        <v>280000</v>
      </c>
      <c r="D17" s="8">
        <f t="shared" si="0"/>
        <v>1400000</v>
      </c>
      <c r="E17" s="5"/>
      <c r="F17" s="5"/>
      <c r="G17" s="5">
        <f t="shared" si="2"/>
        <v>5</v>
      </c>
      <c r="H17" s="10">
        <f t="shared" si="1"/>
        <v>1400000</v>
      </c>
      <c r="I17" s="5" t="s">
        <v>11</v>
      </c>
      <c r="J17" s="18" t="s">
        <v>41</v>
      </c>
      <c r="K17" s="21">
        <v>1</v>
      </c>
      <c r="L17" s="21">
        <v>5</v>
      </c>
      <c r="M17" s="21">
        <v>5</v>
      </c>
      <c r="N17" s="22" t="s">
        <v>72</v>
      </c>
      <c r="O17" s="21">
        <f t="shared" si="3"/>
        <v>0</v>
      </c>
      <c r="P17" s="23">
        <f t="shared" si="4"/>
        <v>0</v>
      </c>
    </row>
    <row r="18" spans="1:16" ht="15.75" customHeight="1" x14ac:dyDescent="0.25">
      <c r="A18" s="11" t="s">
        <v>42</v>
      </c>
      <c r="B18" s="6">
        <v>1</v>
      </c>
      <c r="C18" s="7">
        <v>64000</v>
      </c>
      <c r="D18" s="8">
        <f t="shared" si="0"/>
        <v>64000</v>
      </c>
      <c r="E18" s="5"/>
      <c r="F18" s="5"/>
      <c r="G18" s="5">
        <f t="shared" si="2"/>
        <v>1</v>
      </c>
      <c r="H18" s="10">
        <f t="shared" si="1"/>
        <v>64000</v>
      </c>
      <c r="I18" s="5" t="s">
        <v>11</v>
      </c>
      <c r="J18" s="19" t="s">
        <v>43</v>
      </c>
      <c r="K18" s="21"/>
      <c r="L18" s="21"/>
      <c r="M18" s="21"/>
      <c r="N18" s="24"/>
      <c r="O18" s="21">
        <f t="shared" si="3"/>
        <v>1</v>
      </c>
      <c r="P18" s="23">
        <f t="shared" si="4"/>
        <v>64000</v>
      </c>
    </row>
    <row r="19" spans="1:16" ht="15.75" customHeight="1" x14ac:dyDescent="0.25">
      <c r="A19" s="11" t="s">
        <v>44</v>
      </c>
      <c r="B19" s="6">
        <v>1</v>
      </c>
      <c r="C19" s="7">
        <v>61000</v>
      </c>
      <c r="D19" s="8">
        <f t="shared" si="0"/>
        <v>61000</v>
      </c>
      <c r="E19" s="5"/>
      <c r="F19" s="5"/>
      <c r="G19" s="5">
        <f t="shared" si="2"/>
        <v>1</v>
      </c>
      <c r="H19" s="10">
        <f t="shared" si="1"/>
        <v>61000</v>
      </c>
      <c r="I19" s="5" t="s">
        <v>11</v>
      </c>
      <c r="J19" s="18" t="s">
        <v>45</v>
      </c>
      <c r="K19" s="21"/>
      <c r="L19" s="21"/>
      <c r="M19" s="21"/>
      <c r="N19" s="24"/>
      <c r="O19" s="21">
        <f t="shared" si="3"/>
        <v>1</v>
      </c>
      <c r="P19" s="23">
        <f t="shared" si="4"/>
        <v>61000</v>
      </c>
    </row>
    <row r="20" spans="1:16" ht="15.75" customHeight="1" x14ac:dyDescent="0.25">
      <c r="A20" s="11" t="s">
        <v>46</v>
      </c>
      <c r="B20" s="6">
        <v>1</v>
      </c>
      <c r="C20" s="7">
        <v>122000</v>
      </c>
      <c r="D20" s="8">
        <f t="shared" si="0"/>
        <v>122000</v>
      </c>
      <c r="E20" s="5"/>
      <c r="F20" s="5"/>
      <c r="G20" s="5">
        <f t="shared" si="2"/>
        <v>1</v>
      </c>
      <c r="H20" s="10">
        <f t="shared" si="1"/>
        <v>122000</v>
      </c>
      <c r="I20" s="5" t="s">
        <v>11</v>
      </c>
      <c r="J20" s="19" t="s">
        <v>47</v>
      </c>
      <c r="K20" s="21"/>
      <c r="L20" s="21"/>
      <c r="M20" s="21"/>
      <c r="N20" s="24"/>
      <c r="O20" s="21">
        <f t="shared" si="3"/>
        <v>1</v>
      </c>
      <c r="P20" s="23">
        <f t="shared" si="4"/>
        <v>122000</v>
      </c>
    </row>
    <row r="21" spans="1:16" ht="15.75" customHeight="1" x14ac:dyDescent="0.25">
      <c r="A21" s="11" t="s">
        <v>48</v>
      </c>
      <c r="B21" s="6">
        <v>10</v>
      </c>
      <c r="C21" s="7">
        <v>31000</v>
      </c>
      <c r="D21" s="8">
        <f t="shared" si="0"/>
        <v>310000</v>
      </c>
      <c r="E21" s="5"/>
      <c r="F21" s="5"/>
      <c r="G21" s="5">
        <f t="shared" si="2"/>
        <v>10</v>
      </c>
      <c r="H21" s="10">
        <f t="shared" si="1"/>
        <v>310000</v>
      </c>
      <c r="I21" s="5" t="s">
        <v>11</v>
      </c>
      <c r="J21" s="20"/>
      <c r="K21" s="21"/>
      <c r="L21" s="21"/>
      <c r="M21" s="21"/>
      <c r="N21" s="24"/>
      <c r="O21" s="21">
        <f t="shared" si="3"/>
        <v>10</v>
      </c>
      <c r="P21" s="23">
        <f t="shared" si="4"/>
        <v>310000</v>
      </c>
    </row>
    <row r="22" spans="1:16" ht="15" x14ac:dyDescent="0.25">
      <c r="A22" s="11" t="s">
        <v>49</v>
      </c>
      <c r="B22" s="6">
        <v>1</v>
      </c>
      <c r="C22" s="7">
        <v>25000</v>
      </c>
      <c r="D22" s="8">
        <f t="shared" si="0"/>
        <v>25000</v>
      </c>
      <c r="E22" s="5"/>
      <c r="F22" s="5"/>
      <c r="G22" s="5">
        <f t="shared" si="2"/>
        <v>1</v>
      </c>
      <c r="H22" s="10">
        <f t="shared" si="1"/>
        <v>25000</v>
      </c>
      <c r="I22" s="5" t="s">
        <v>11</v>
      </c>
      <c r="J22" s="19" t="s">
        <v>50</v>
      </c>
      <c r="K22" s="21"/>
      <c r="L22" s="21"/>
      <c r="M22" s="21"/>
      <c r="N22" s="24"/>
      <c r="O22" s="21">
        <f t="shared" si="3"/>
        <v>1</v>
      </c>
      <c r="P22" s="23">
        <f t="shared" si="4"/>
        <v>25000</v>
      </c>
    </row>
    <row r="23" spans="1:16" ht="15" x14ac:dyDescent="0.25">
      <c r="A23" s="11" t="s">
        <v>51</v>
      </c>
      <c r="B23" s="6">
        <v>1</v>
      </c>
      <c r="C23" s="7">
        <v>41000</v>
      </c>
      <c r="D23" s="8">
        <f t="shared" si="0"/>
        <v>41000</v>
      </c>
      <c r="E23" s="5"/>
      <c r="F23" s="5"/>
      <c r="G23" s="5">
        <f t="shared" si="2"/>
        <v>1</v>
      </c>
      <c r="H23" s="10">
        <f t="shared" si="1"/>
        <v>41000</v>
      </c>
      <c r="I23" s="5" t="s">
        <v>11</v>
      </c>
      <c r="J23" s="18" t="s">
        <v>52</v>
      </c>
      <c r="K23" s="21"/>
      <c r="L23" s="21"/>
      <c r="M23" s="21"/>
      <c r="N23" s="24"/>
      <c r="O23" s="21">
        <f t="shared" si="3"/>
        <v>1</v>
      </c>
      <c r="P23" s="23">
        <f t="shared" si="4"/>
        <v>41000</v>
      </c>
    </row>
    <row r="24" spans="1:16" ht="12.75" x14ac:dyDescent="0.2">
      <c r="A24" s="5" t="s">
        <v>53</v>
      </c>
      <c r="B24" s="6">
        <v>1</v>
      </c>
      <c r="C24" s="7">
        <v>75000</v>
      </c>
      <c r="D24" s="8">
        <f t="shared" si="0"/>
        <v>75000</v>
      </c>
      <c r="E24" s="5"/>
      <c r="F24" s="5"/>
      <c r="G24" s="5">
        <f t="shared" si="2"/>
        <v>1</v>
      </c>
      <c r="H24" s="10">
        <f t="shared" si="1"/>
        <v>75000</v>
      </c>
      <c r="I24" s="5" t="s">
        <v>11</v>
      </c>
      <c r="J24" s="18" t="s">
        <v>54</v>
      </c>
      <c r="K24" s="21">
        <v>1</v>
      </c>
      <c r="L24" s="21">
        <v>1</v>
      </c>
      <c r="M24" s="21">
        <v>1</v>
      </c>
      <c r="N24" s="22" t="s">
        <v>76</v>
      </c>
      <c r="O24" s="21">
        <f t="shared" si="3"/>
        <v>0</v>
      </c>
      <c r="P24" s="23">
        <f t="shared" si="4"/>
        <v>0</v>
      </c>
    </row>
    <row r="25" spans="1:16" ht="12.75" x14ac:dyDescent="0.2">
      <c r="A25" s="5" t="s">
        <v>55</v>
      </c>
      <c r="B25" s="6">
        <v>1</v>
      </c>
      <c r="C25" s="7">
        <v>62000</v>
      </c>
      <c r="D25" s="8">
        <f t="shared" si="0"/>
        <v>62000</v>
      </c>
      <c r="E25" s="5"/>
      <c r="F25" s="5"/>
      <c r="G25" s="5">
        <f t="shared" si="2"/>
        <v>1</v>
      </c>
      <c r="H25" s="10">
        <f t="shared" si="1"/>
        <v>62000</v>
      </c>
      <c r="I25" s="5" t="s">
        <v>11</v>
      </c>
      <c r="J25" s="19" t="s">
        <v>56</v>
      </c>
      <c r="K25" s="21"/>
      <c r="L25" s="21"/>
      <c r="M25" s="21"/>
      <c r="N25" s="24"/>
      <c r="O25" s="21">
        <f t="shared" si="3"/>
        <v>1</v>
      </c>
      <c r="P25" s="23">
        <f t="shared" si="4"/>
        <v>62000</v>
      </c>
    </row>
    <row r="26" spans="1:16" ht="12.75" x14ac:dyDescent="0.2">
      <c r="A26" s="5" t="s">
        <v>57</v>
      </c>
      <c r="B26" s="6">
        <v>1</v>
      </c>
      <c r="C26" s="7">
        <v>60000</v>
      </c>
      <c r="D26" s="8">
        <f t="shared" si="0"/>
        <v>60000</v>
      </c>
      <c r="E26" s="5"/>
      <c r="F26" s="5"/>
      <c r="G26" s="5">
        <f t="shared" si="2"/>
        <v>1</v>
      </c>
      <c r="H26" s="10">
        <f t="shared" si="1"/>
        <v>60000</v>
      </c>
      <c r="I26" s="5" t="s">
        <v>11</v>
      </c>
      <c r="J26" s="18" t="s">
        <v>58</v>
      </c>
      <c r="K26" s="21"/>
      <c r="L26" s="21"/>
      <c r="M26" s="21"/>
      <c r="N26" s="24"/>
      <c r="O26" s="21">
        <f t="shared" si="3"/>
        <v>1</v>
      </c>
      <c r="P26" s="23">
        <f t="shared" si="4"/>
        <v>60000</v>
      </c>
    </row>
    <row r="27" spans="1:16" ht="12.75" x14ac:dyDescent="0.2">
      <c r="A27" s="5" t="s">
        <v>59</v>
      </c>
      <c r="B27" s="6">
        <v>1</v>
      </c>
      <c r="C27" s="7">
        <v>62000</v>
      </c>
      <c r="D27" s="8">
        <f t="shared" si="0"/>
        <v>62000</v>
      </c>
      <c r="E27" s="5"/>
      <c r="F27" s="5"/>
      <c r="G27" s="5">
        <f t="shared" si="2"/>
        <v>1</v>
      </c>
      <c r="H27" s="10">
        <f t="shared" si="1"/>
        <v>62000</v>
      </c>
      <c r="I27" s="5" t="s">
        <v>11</v>
      </c>
      <c r="J27" s="19" t="s">
        <v>60</v>
      </c>
      <c r="K27" s="21"/>
      <c r="L27" s="21"/>
      <c r="M27" s="21"/>
      <c r="N27" s="24"/>
      <c r="O27" s="21">
        <f t="shared" si="3"/>
        <v>1</v>
      </c>
      <c r="P27" s="23">
        <f t="shared" si="4"/>
        <v>62000</v>
      </c>
    </row>
    <row r="28" spans="1:16" ht="12.75" x14ac:dyDescent="0.2">
      <c r="A28" s="5" t="s">
        <v>61</v>
      </c>
      <c r="B28" s="6">
        <v>1</v>
      </c>
      <c r="C28" s="7">
        <v>99000</v>
      </c>
      <c r="D28" s="8">
        <f t="shared" si="0"/>
        <v>99000</v>
      </c>
      <c r="E28" s="5"/>
      <c r="F28" s="5"/>
      <c r="G28" s="5">
        <f t="shared" si="2"/>
        <v>1</v>
      </c>
      <c r="H28" s="10">
        <f t="shared" si="1"/>
        <v>99000</v>
      </c>
      <c r="I28" s="5" t="s">
        <v>11</v>
      </c>
      <c r="J28" s="18" t="s">
        <v>62</v>
      </c>
      <c r="K28" s="21"/>
      <c r="L28" s="21"/>
      <c r="M28" s="21"/>
      <c r="N28" s="24"/>
      <c r="O28" s="21">
        <f t="shared" si="3"/>
        <v>1</v>
      </c>
      <c r="P28" s="23">
        <f t="shared" si="4"/>
        <v>99000</v>
      </c>
    </row>
    <row r="29" spans="1:16" ht="12.75" x14ac:dyDescent="0.2">
      <c r="D29" s="12">
        <f>SUM(D2:D28)</f>
        <v>112969000</v>
      </c>
      <c r="G29" s="13" t="s">
        <v>6</v>
      </c>
      <c r="H29" s="14">
        <f>SUM(H2:H28)</f>
        <v>28905000</v>
      </c>
      <c r="P29" s="16">
        <f>SUM(P2:P28)</f>
        <v>5338000</v>
      </c>
    </row>
  </sheetData>
  <autoFilter ref="A1:P29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2" r:id="rId19"/>
    <hyperlink ref="J23" r:id="rId20"/>
    <hyperlink ref="J24" r:id="rId21"/>
    <hyperlink ref="J25" r:id="rId22"/>
    <hyperlink ref="J26" r:id="rId23"/>
    <hyperlink ref="J27" r:id="rId24"/>
    <hyperlink ref="J28" r:id="rId25"/>
    <hyperlink ref="N9" r:id="rId26"/>
    <hyperlink ref="N3" r:id="rId27"/>
    <hyperlink ref="N6" r:id="rId28"/>
    <hyperlink ref="N17" r:id="rId29"/>
    <hyperlink ref="N4" r:id="rId30"/>
    <hyperlink ref="N8" r:id="rId31"/>
    <hyperlink ref="N24" r:id="rId32"/>
    <hyperlink ref="N2" r:id="rId33"/>
    <hyperlink ref="N16" r:id="rId34"/>
    <hyperlink ref="N12" r:id="rId35"/>
    <hyperlink ref="N7" r:id="rId36"/>
    <hyperlink ref="N10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johnatan</cp:lastModifiedBy>
  <dcterms:modified xsi:type="dcterms:W3CDTF">2026-03-05T23:48:33Z</dcterms:modified>
</cp:coreProperties>
</file>